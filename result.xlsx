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ec\基礎科学実験A\06\BSEA2_06_ElectricalCircuit\"/>
    </mc:Choice>
  </mc:AlternateContent>
  <xr:revisionPtr revIDLastSave="0" documentId="13_ncr:1_{EF752A36-03FB-4631-A739-C650A908C86F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R1" sheetId="1" r:id="rId1"/>
    <sheet name="R2" sheetId="2" r:id="rId2"/>
    <sheet name="R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" l="1"/>
  <c r="C13" i="3"/>
  <c r="B13" i="3"/>
  <c r="A13" i="3"/>
  <c r="E13" i="3" s="1"/>
  <c r="E12" i="3" s="1"/>
  <c r="D7" i="3"/>
  <c r="D6" i="3"/>
  <c r="B6" i="3"/>
  <c r="D5" i="3"/>
  <c r="B5" i="3"/>
  <c r="D4" i="3"/>
  <c r="B4" i="3"/>
  <c r="D3" i="3"/>
  <c r="B3" i="3"/>
  <c r="D2" i="3"/>
  <c r="B2" i="3"/>
  <c r="D13" i="2"/>
  <c r="C13" i="2"/>
  <c r="E13" i="2" s="1"/>
  <c r="E12" i="2" s="1"/>
  <c r="B13" i="2"/>
  <c r="A13" i="2"/>
  <c r="D6" i="2"/>
  <c r="D5" i="2"/>
  <c r="B5" i="2"/>
  <c r="D4" i="2"/>
  <c r="B4" i="2"/>
  <c r="D3" i="2"/>
  <c r="B3" i="2"/>
  <c r="D2" i="2"/>
  <c r="E2" i="2" s="1"/>
  <c r="B2" i="2"/>
  <c r="D13" i="1"/>
  <c r="E13" i="1" s="1"/>
  <c r="E12" i="1" s="1"/>
  <c r="C13" i="1"/>
  <c r="B13" i="1"/>
  <c r="A13" i="1"/>
  <c r="E3" i="1"/>
  <c r="E4" i="1"/>
  <c r="E5" i="1"/>
  <c r="E6" i="1"/>
  <c r="E7" i="1"/>
  <c r="E8" i="1"/>
  <c r="E9" i="1"/>
  <c r="E2" i="1"/>
  <c r="D3" i="1"/>
  <c r="D4" i="1"/>
  <c r="D5" i="1"/>
  <c r="D6" i="1"/>
  <c r="D7" i="1"/>
  <c r="D8" i="1"/>
  <c r="D9" i="1"/>
  <c r="D2" i="1"/>
  <c r="B3" i="1"/>
  <c r="B4" i="1"/>
  <c r="B5" i="1"/>
  <c r="B6" i="1"/>
  <c r="B7" i="1"/>
  <c r="B8" i="1"/>
  <c r="B2" i="1"/>
  <c r="E3" i="3" l="1"/>
  <c r="E4" i="3"/>
  <c r="E5" i="3"/>
  <c r="E6" i="3"/>
  <c r="E7" i="3"/>
  <c r="E2" i="3"/>
  <c r="E4" i="2"/>
  <c r="E5" i="2"/>
  <c r="E6" i="2"/>
  <c r="E3" i="2"/>
</calcChain>
</file>

<file path=xl/sharedStrings.xml><?xml version="1.0" encoding="utf-8"?>
<sst xmlns="http://schemas.openxmlformats.org/spreadsheetml/2006/main" count="30" uniqueCount="11">
  <si>
    <t>t</t>
    <phoneticPr fontId="1"/>
  </si>
  <si>
    <t>V</t>
    <phoneticPr fontId="1"/>
  </si>
  <si>
    <t>|V|</t>
    <phoneticPr fontId="1"/>
  </si>
  <si>
    <t>dt</t>
    <phoneticPr fontId="1"/>
  </si>
  <si>
    <t>log|V|</t>
    <phoneticPr fontId="1"/>
  </si>
  <si>
    <t>L</t>
    <phoneticPr fontId="1"/>
  </si>
  <si>
    <t>C</t>
    <phoneticPr fontId="1"/>
  </si>
  <si>
    <t>R</t>
    <phoneticPr fontId="1"/>
  </si>
  <si>
    <t>T</t>
    <phoneticPr fontId="1"/>
  </si>
  <si>
    <t>R3</t>
    <phoneticPr fontId="1"/>
  </si>
  <si>
    <t>R2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</si>
</sst>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workbookViewId="0">
      <selection activeCell="E2" sqref="E2:E9"/>
    </sheetView>
  </sheetViews>
  <sheetFormatPr defaultRowHeight="18"/>
  <cols>
    <col min="2" max="2" width="10.75" bestFit="1" customWidth="1"/>
  </cols>
  <sheetData>
    <row r="1" spans="1:5">
      <c r="A1" t="s">
        <v>0</v>
      </c>
      <c r="B1" t="s">
        <v>3</v>
      </c>
      <c r="C1" t="s">
        <v>1</v>
      </c>
      <c r="D1" t="s">
        <v>2</v>
      </c>
      <c r="E1" t="s">
        <v>4</v>
      </c>
    </row>
    <row r="2" spans="1:5">
      <c r="A2">
        <v>0</v>
      </c>
      <c r="B2">
        <f>A3-A2</f>
        <v>52</v>
      </c>
      <c r="C2">
        <v>0.47199999999999998</v>
      </c>
      <c r="D2">
        <f>ABS(C2)</f>
        <v>0.47199999999999998</v>
      </c>
      <c r="E2">
        <f>LOG(D2/$D$2)</f>
        <v>0</v>
      </c>
    </row>
    <row r="3" spans="1:5">
      <c r="A3">
        <v>52</v>
      </c>
      <c r="B3">
        <f t="shared" ref="B3:B8" si="0">A4-A3</f>
        <v>52</v>
      </c>
      <c r="C3">
        <v>-0.32800000000000001</v>
      </c>
      <c r="D3">
        <f t="shared" ref="D3:D9" si="1">ABS(C3)</f>
        <v>0.32800000000000001</v>
      </c>
      <c r="E3">
        <f t="shared" ref="E3:E9" si="2">LOG(D3/$D$2)</f>
        <v>-0.15806815492240867</v>
      </c>
    </row>
    <row r="4" spans="1:5">
      <c r="A4">
        <v>104</v>
      </c>
      <c r="B4">
        <f t="shared" si="0"/>
        <v>54</v>
      </c>
      <c r="C4">
        <v>0.23200000000000001</v>
      </c>
      <c r="D4">
        <f t="shared" si="1"/>
        <v>0.23200000000000001</v>
      </c>
      <c r="E4">
        <f t="shared" si="2"/>
        <v>-0.30845401374318804</v>
      </c>
    </row>
    <row r="5" spans="1:5">
      <c r="A5">
        <v>158</v>
      </c>
      <c r="B5">
        <f t="shared" si="0"/>
        <v>54</v>
      </c>
      <c r="C5">
        <v>-0.16800000000000001</v>
      </c>
      <c r="D5">
        <f t="shared" si="1"/>
        <v>0.16800000000000001</v>
      </c>
      <c r="E5">
        <f t="shared" si="2"/>
        <v>-0.44863271690822487</v>
      </c>
    </row>
    <row r="6" spans="1:5">
      <c r="A6">
        <v>212</v>
      </c>
      <c r="B6">
        <f t="shared" si="0"/>
        <v>54</v>
      </c>
      <c r="C6">
        <v>0.112</v>
      </c>
      <c r="D6">
        <f t="shared" si="1"/>
        <v>0.112</v>
      </c>
      <c r="E6">
        <f t="shared" si="2"/>
        <v>-0.62472397596390616</v>
      </c>
    </row>
    <row r="7" spans="1:5">
      <c r="A7">
        <v>266</v>
      </c>
      <c r="B7">
        <f t="shared" si="0"/>
        <v>54</v>
      </c>
      <c r="C7">
        <v>-0.08</v>
      </c>
      <c r="D7">
        <f t="shared" si="1"/>
        <v>0.08</v>
      </c>
      <c r="E7">
        <f t="shared" si="2"/>
        <v>-0.77085201164214412</v>
      </c>
    </row>
    <row r="8" spans="1:5">
      <c r="A8">
        <v>320</v>
      </c>
      <c r="B8">
        <f t="shared" si="0"/>
        <v>54</v>
      </c>
      <c r="C8">
        <v>5.6000000000000001E-2</v>
      </c>
      <c r="D8">
        <f t="shared" si="1"/>
        <v>5.6000000000000001E-2</v>
      </c>
      <c r="E8">
        <f t="shared" si="2"/>
        <v>-0.92575397162788731</v>
      </c>
    </row>
    <row r="9" spans="1:5">
      <c r="A9">
        <v>374</v>
      </c>
      <c r="C9">
        <v>-3.2000000000000001E-2</v>
      </c>
      <c r="D9">
        <f t="shared" si="1"/>
        <v>3.2000000000000001E-2</v>
      </c>
      <c r="E9">
        <f t="shared" si="2"/>
        <v>-1.1687920203141817</v>
      </c>
    </row>
    <row r="11" spans="1:5">
      <c r="A11" t="s">
        <v>5</v>
      </c>
      <c r="B11" t="s">
        <v>6</v>
      </c>
      <c r="C11" t="s">
        <v>7</v>
      </c>
      <c r="D11" t="s">
        <v>9</v>
      </c>
      <c r="E11" t="s">
        <v>8</v>
      </c>
    </row>
    <row r="12" spans="1:5">
      <c r="A12">
        <v>27.44</v>
      </c>
      <c r="B12">
        <v>10.24</v>
      </c>
      <c r="C12">
        <v>160.9</v>
      </c>
      <c r="D12">
        <v>130.29</v>
      </c>
      <c r="E12">
        <f>E13*1000000</f>
        <v>105.74174982428167</v>
      </c>
    </row>
    <row r="13" spans="1:5">
      <c r="A13">
        <f>A12/1000</f>
        <v>2.7440000000000003E-2</v>
      </c>
      <c r="B13">
        <f>B12/1000000000</f>
        <v>1.0240000000000001E-8</v>
      </c>
      <c r="C13">
        <f>C12</f>
        <v>160.9</v>
      </c>
      <c r="D13">
        <f>D12</f>
        <v>130.29</v>
      </c>
      <c r="E13">
        <f>2*PI()/SQRT(1/A13/B13-((C13+D13)/2/A13)^2)</f>
        <v>1.0574174982428167E-4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2F20-0891-4E84-9E25-B8B765F52A72}">
  <dimension ref="A1:E13"/>
  <sheetViews>
    <sheetView workbookViewId="0">
      <selection activeCell="E2" sqref="E2:E6"/>
    </sheetView>
  </sheetViews>
  <sheetFormatPr defaultRowHeight="18"/>
  <cols>
    <col min="2" max="2" width="10.75" bestFit="1" customWidth="1"/>
  </cols>
  <sheetData>
    <row r="1" spans="1:5">
      <c r="A1" t="s">
        <v>0</v>
      </c>
      <c r="B1" t="s">
        <v>3</v>
      </c>
      <c r="C1" t="s">
        <v>1</v>
      </c>
      <c r="D1" t="s">
        <v>2</v>
      </c>
      <c r="E1" t="s">
        <v>4</v>
      </c>
    </row>
    <row r="2" spans="1:5">
      <c r="A2">
        <v>0</v>
      </c>
      <c r="B2">
        <f>A3-A2</f>
        <v>53</v>
      </c>
      <c r="C2">
        <v>1.46</v>
      </c>
      <c r="D2">
        <f>ABS(C2)</f>
        <v>1.46</v>
      </c>
      <c r="E2">
        <f>LOG(D2/$D$2)</f>
        <v>0</v>
      </c>
    </row>
    <row r="3" spans="1:5">
      <c r="A3">
        <v>53</v>
      </c>
      <c r="B3">
        <f t="shared" ref="B3:B8" si="0">A4-A3</f>
        <v>53</v>
      </c>
      <c r="C3">
        <v>-0.74</v>
      </c>
      <c r="D3">
        <f t="shared" ref="D3:D9" si="1">ABS(C3)</f>
        <v>0.74</v>
      </c>
      <c r="E3">
        <f t="shared" ref="E3:E9" si="2">LOG(D3/$D$2)</f>
        <v>-0.29512113605346091</v>
      </c>
    </row>
    <row r="4" spans="1:5">
      <c r="A4">
        <v>106</v>
      </c>
      <c r="B4">
        <f t="shared" si="0"/>
        <v>53</v>
      </c>
      <c r="C4">
        <v>0.38</v>
      </c>
      <c r="D4">
        <f t="shared" si="1"/>
        <v>0.38</v>
      </c>
      <c r="E4">
        <f t="shared" si="2"/>
        <v>-0.58456925916762692</v>
      </c>
    </row>
    <row r="5" spans="1:5">
      <c r="A5">
        <v>159</v>
      </c>
      <c r="B5">
        <f t="shared" si="0"/>
        <v>53</v>
      </c>
      <c r="C5">
        <v>-0.2</v>
      </c>
      <c r="D5">
        <f t="shared" si="1"/>
        <v>0.2</v>
      </c>
      <c r="E5">
        <f t="shared" si="2"/>
        <v>-0.86332286012045589</v>
      </c>
    </row>
    <row r="6" spans="1:5">
      <c r="A6">
        <v>212</v>
      </c>
      <c r="C6">
        <v>0.1</v>
      </c>
      <c r="D6">
        <f t="shared" si="1"/>
        <v>0.1</v>
      </c>
      <c r="E6">
        <f t="shared" si="2"/>
        <v>-1.1643528557844369</v>
      </c>
    </row>
    <row r="11" spans="1:5">
      <c r="A11" t="s">
        <v>5</v>
      </c>
      <c r="B11" t="s">
        <v>6</v>
      </c>
      <c r="C11" t="s">
        <v>7</v>
      </c>
      <c r="D11" t="s">
        <v>10</v>
      </c>
      <c r="E11" t="s">
        <v>8</v>
      </c>
    </row>
    <row r="12" spans="1:5">
      <c r="A12">
        <v>27.44</v>
      </c>
      <c r="B12">
        <v>10.24</v>
      </c>
      <c r="C12">
        <v>160.9</v>
      </c>
      <c r="D12">
        <v>460.8</v>
      </c>
      <c r="E12">
        <f>E13*1000000</f>
        <v>107.27456126059701</v>
      </c>
    </row>
    <row r="13" spans="1:5">
      <c r="A13">
        <f>A12/1000</f>
        <v>2.7440000000000003E-2</v>
      </c>
      <c r="B13">
        <f>B12/1000000000</f>
        <v>1.0240000000000001E-8</v>
      </c>
      <c r="C13">
        <f>C12</f>
        <v>160.9</v>
      </c>
      <c r="D13">
        <f>D12</f>
        <v>460.8</v>
      </c>
      <c r="E13">
        <f>2*PI()/SQRT(1/A13/B13-((C13+D13)/2/A13)^2)</f>
        <v>1.0727456126059702E-4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DC4FC-06D0-4B46-A377-F04A1852B6E6}">
  <dimension ref="A1:E13"/>
  <sheetViews>
    <sheetView tabSelected="1" workbookViewId="0">
      <selection activeCell="C8" sqref="C8"/>
    </sheetView>
  </sheetViews>
  <sheetFormatPr defaultRowHeight="18"/>
  <cols>
    <col min="2" max="2" width="10.75" bestFit="1" customWidth="1"/>
  </cols>
  <sheetData>
    <row r="1" spans="1:5">
      <c r="A1" t="s">
        <v>0</v>
      </c>
      <c r="B1" t="s">
        <v>3</v>
      </c>
      <c r="C1" t="s">
        <v>1</v>
      </c>
      <c r="D1" t="s">
        <v>2</v>
      </c>
      <c r="E1" t="s">
        <v>4</v>
      </c>
    </row>
    <row r="2" spans="1:5">
      <c r="A2">
        <v>0</v>
      </c>
      <c r="B2">
        <f>A3-A2</f>
        <v>25</v>
      </c>
      <c r="C2">
        <v>5.52</v>
      </c>
      <c r="D2">
        <f>ABS(C2)</f>
        <v>5.52</v>
      </c>
      <c r="E2">
        <f>LOG(D2/$D$2)</f>
        <v>0</v>
      </c>
    </row>
    <row r="3" spans="1:5">
      <c r="A3">
        <v>25</v>
      </c>
      <c r="B3">
        <f t="shared" ref="B3:B8" si="0">A4-A3</f>
        <v>25</v>
      </c>
      <c r="C3">
        <v>3.44</v>
      </c>
      <c r="D3">
        <f t="shared" ref="D3:D9" si="1">ABS(C3)</f>
        <v>3.44</v>
      </c>
      <c r="E3">
        <f t="shared" ref="E3:E9" si="2">LOG(D3/$D$2)</f>
        <v>-0.2053806351576688</v>
      </c>
    </row>
    <row r="4" spans="1:5">
      <c r="A4">
        <v>50</v>
      </c>
      <c r="B4">
        <f t="shared" si="0"/>
        <v>25</v>
      </c>
      <c r="C4">
        <v>1.92</v>
      </c>
      <c r="D4">
        <f t="shared" si="1"/>
        <v>1.92</v>
      </c>
      <c r="E4">
        <f t="shared" si="2"/>
        <v>-0.4586378490256493</v>
      </c>
    </row>
    <row r="5" spans="1:5">
      <c r="A5">
        <v>75</v>
      </c>
      <c r="B5">
        <f t="shared" si="0"/>
        <v>25</v>
      </c>
      <c r="C5">
        <v>1.1200000000000001</v>
      </c>
      <c r="D5">
        <f t="shared" si="1"/>
        <v>1.1200000000000001</v>
      </c>
      <c r="E5">
        <f t="shared" si="2"/>
        <v>-0.69272105505901715</v>
      </c>
    </row>
    <row r="6" spans="1:5">
      <c r="A6">
        <v>100</v>
      </c>
      <c r="B6">
        <f t="shared" si="0"/>
        <v>25</v>
      </c>
      <c r="C6">
        <v>0.64</v>
      </c>
      <c r="D6">
        <f t="shared" si="1"/>
        <v>0.64</v>
      </c>
      <c r="E6">
        <f t="shared" si="2"/>
        <v>-0.93575910374531168</v>
      </c>
    </row>
    <row r="7" spans="1:5">
      <c r="A7">
        <v>125</v>
      </c>
      <c r="C7">
        <v>0.4</v>
      </c>
      <c r="D7">
        <f t="shared" si="1"/>
        <v>0.4</v>
      </c>
      <c r="E7">
        <f t="shared" si="2"/>
        <v>-1.1398790864012365</v>
      </c>
    </row>
    <row r="11" spans="1:5">
      <c r="A11" t="s">
        <v>5</v>
      </c>
      <c r="B11" t="s">
        <v>6</v>
      </c>
      <c r="C11" t="s">
        <v>7</v>
      </c>
      <c r="D11" t="s">
        <v>9</v>
      </c>
      <c r="E11" t="s">
        <v>8</v>
      </c>
    </row>
    <row r="12" spans="1:5">
      <c r="A12">
        <v>27.44</v>
      </c>
      <c r="B12">
        <v>10.24</v>
      </c>
      <c r="C12">
        <v>160.9</v>
      </c>
      <c r="D12">
        <v>130.29</v>
      </c>
      <c r="E12">
        <f>E13*1000000</f>
        <v>105.74174982428167</v>
      </c>
    </row>
    <row r="13" spans="1:5">
      <c r="A13">
        <f>A12/1000</f>
        <v>2.7440000000000003E-2</v>
      </c>
      <c r="B13">
        <f>B12/1000000000</f>
        <v>1.0240000000000001E-8</v>
      </c>
      <c r="C13">
        <f>C12</f>
        <v>160.9</v>
      </c>
      <c r="D13">
        <f>D12</f>
        <v>130.29</v>
      </c>
      <c r="E13">
        <f>2*PI()/SQRT(1/A13/B13-((C13+D13)/2/A13)^2)</f>
        <v>1.0574174982428167E-4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R1</vt:lpstr>
      <vt:lpstr>R2</vt:lpstr>
      <vt:lpstr>R3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yukih</dc:creator>
  <cp:lastModifiedBy>h2511198</cp:lastModifiedBy>
  <dcterms:created xsi:type="dcterms:W3CDTF">2015-06-05T18:19:34Z</dcterms:created>
  <dcterms:modified xsi:type="dcterms:W3CDTF">2025-11-13T19:31:37Z</dcterms:modified>
</cp:coreProperties>
</file>