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ec\基礎科学実験A\06\BSEA2_06_ElectricalCircuit\"/>
    </mc:Choice>
  </mc:AlternateContent>
  <xr:revisionPtr revIDLastSave="0" documentId="13_ncr:1_{A93C60B1-EDF2-4F3B-B1F3-0539C66DD1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1" sheetId="1" r:id="rId1"/>
    <sheet name="R2" sheetId="2" r:id="rId2"/>
    <sheet name="R3" sheetId="3" r:id="rId3"/>
    <sheet name="R4" sheetId="4" r:id="rId4"/>
    <sheet name="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2" i="4"/>
  <c r="E3" i="3"/>
  <c r="E4" i="3"/>
  <c r="E5" i="3"/>
  <c r="E6" i="3"/>
  <c r="E7" i="3"/>
  <c r="E2" i="3"/>
  <c r="E3" i="2"/>
  <c r="E4" i="2"/>
  <c r="E5" i="2"/>
  <c r="E6" i="2"/>
  <c r="E2" i="2"/>
  <c r="E3" i="1"/>
  <c r="E4" i="1"/>
  <c r="E5" i="1"/>
  <c r="E6" i="1"/>
  <c r="E7" i="1"/>
  <c r="E8" i="1"/>
  <c r="E9" i="1"/>
  <c r="E2" i="1"/>
  <c r="I2" i="5"/>
  <c r="I3" i="5"/>
  <c r="I4" i="5"/>
  <c r="I5" i="5"/>
  <c r="J5" i="5" s="1"/>
  <c r="J3" i="5"/>
  <c r="J4" i="5"/>
  <c r="J2" i="5"/>
  <c r="D3" i="5"/>
  <c r="E2" i="5" s="1"/>
  <c r="G3" i="5"/>
  <c r="H3" i="5" s="1"/>
  <c r="G4" i="5"/>
  <c r="H4" i="5" s="1"/>
  <c r="G5" i="5"/>
  <c r="H5" i="5" s="1"/>
  <c r="G2" i="5"/>
  <c r="H2" i="5" s="1"/>
  <c r="D12" i="4"/>
  <c r="D11" i="4"/>
  <c r="D10" i="4"/>
  <c r="B9" i="4"/>
  <c r="B10" i="4"/>
  <c r="B11" i="4"/>
  <c r="D18" i="4"/>
  <c r="C18" i="4"/>
  <c r="B18" i="4"/>
  <c r="A18" i="4"/>
  <c r="D9" i="4"/>
  <c r="D8" i="4"/>
  <c r="B8" i="4"/>
  <c r="D7" i="4"/>
  <c r="B7" i="4"/>
  <c r="D6" i="4"/>
  <c r="B6" i="4"/>
  <c r="D5" i="4"/>
  <c r="B5" i="4"/>
  <c r="D4" i="4"/>
  <c r="B4" i="4"/>
  <c r="D3" i="4"/>
  <c r="B3" i="4"/>
  <c r="D2" i="4"/>
  <c r="B2" i="4"/>
  <c r="D13" i="3"/>
  <c r="C13" i="3"/>
  <c r="B13" i="3"/>
  <c r="A13" i="3"/>
  <c r="E13" i="3" s="1"/>
  <c r="E12" i="3" s="1"/>
  <c r="D7" i="3"/>
  <c r="D6" i="3"/>
  <c r="B6" i="3"/>
  <c r="D5" i="3"/>
  <c r="B5" i="3"/>
  <c r="D4" i="3"/>
  <c r="B4" i="3"/>
  <c r="D3" i="3"/>
  <c r="B3" i="3"/>
  <c r="D2" i="3"/>
  <c r="B2" i="3"/>
  <c r="D13" i="2"/>
  <c r="C13" i="2"/>
  <c r="E13" i="2" s="1"/>
  <c r="E12" i="2" s="1"/>
  <c r="B13" i="2"/>
  <c r="A13" i="2"/>
  <c r="D6" i="2"/>
  <c r="D5" i="2"/>
  <c r="B5" i="2"/>
  <c r="D4" i="2"/>
  <c r="B4" i="2"/>
  <c r="D3" i="2"/>
  <c r="B3" i="2"/>
  <c r="D2" i="2"/>
  <c r="B2" i="2"/>
  <c r="D13" i="1"/>
  <c r="E13" i="1" s="1"/>
  <c r="E12" i="1" s="1"/>
  <c r="C13" i="1"/>
  <c r="B13" i="1"/>
  <c r="A13" i="1"/>
  <c r="D3" i="1"/>
  <c r="D4" i="1"/>
  <c r="D5" i="1"/>
  <c r="D6" i="1"/>
  <c r="D7" i="1"/>
  <c r="D8" i="1"/>
  <c r="D9" i="1"/>
  <c r="D2" i="1"/>
  <c r="B3" i="1"/>
  <c r="B4" i="1"/>
  <c r="B5" i="1"/>
  <c r="B6" i="1"/>
  <c r="B7" i="1"/>
  <c r="B8" i="1"/>
  <c r="B2" i="1"/>
  <c r="E18" i="4" l="1"/>
  <c r="E17" i="4" s="1"/>
</calcChain>
</file>

<file path=xl/sharedStrings.xml><?xml version="1.0" encoding="utf-8"?>
<sst xmlns="http://schemas.openxmlformats.org/spreadsheetml/2006/main" count="50" uniqueCount="19">
  <si>
    <t>t</t>
    <phoneticPr fontId="1"/>
  </si>
  <si>
    <t>V</t>
    <phoneticPr fontId="1"/>
  </si>
  <si>
    <t>|V|</t>
    <phoneticPr fontId="1"/>
  </si>
  <si>
    <t>dt</t>
    <phoneticPr fontId="1"/>
  </si>
  <si>
    <t>log|V|</t>
    <phoneticPr fontId="1"/>
  </si>
  <si>
    <t>L</t>
    <phoneticPr fontId="1"/>
  </si>
  <si>
    <t>C</t>
    <phoneticPr fontId="1"/>
  </si>
  <si>
    <t>R</t>
    <phoneticPr fontId="1"/>
  </si>
  <si>
    <t>T</t>
    <phoneticPr fontId="1"/>
  </si>
  <si>
    <t>R3</t>
    <phoneticPr fontId="1"/>
  </si>
  <si>
    <t>R2</t>
    <phoneticPr fontId="1"/>
  </si>
  <si>
    <t>RL</t>
    <phoneticPr fontId="1"/>
  </si>
  <si>
    <t>Ri</t>
    <phoneticPr fontId="1"/>
  </si>
  <si>
    <t>Rinp</t>
    <phoneticPr fontId="1"/>
  </si>
  <si>
    <t>R'</t>
    <phoneticPr fontId="1"/>
  </si>
  <si>
    <t>g</t>
    <phoneticPr fontId="1"/>
  </si>
  <si>
    <t>g-o1</t>
    <phoneticPr fontId="1"/>
  </si>
  <si>
    <t>o1</t>
    <phoneticPr fontId="1"/>
  </si>
  <si>
    <t>o0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</si>
</sst>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8"/>
  <cols>
    <col min="2" max="2" width="10.75" bestFit="1" customWidth="1"/>
  </cols>
  <sheetData>
    <row r="1" spans="1: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>
      <c r="A2">
        <v>0</v>
      </c>
      <c r="B2">
        <f>A3-A2</f>
        <v>52</v>
      </c>
      <c r="C2">
        <v>0.47199999999999998</v>
      </c>
      <c r="D2">
        <f>ABS(C2)</f>
        <v>0.47199999999999998</v>
      </c>
      <c r="E2">
        <f>LN(D2/$D$2)</f>
        <v>0</v>
      </c>
    </row>
    <row r="3" spans="1:5">
      <c r="A3">
        <v>52</v>
      </c>
      <c r="B3">
        <f t="shared" ref="B3:B8" si="0">A4-A3</f>
        <v>52</v>
      </c>
      <c r="C3">
        <v>-0.32800000000000001</v>
      </c>
      <c r="D3">
        <f t="shared" ref="D3:D9" si="1">ABS(C3)</f>
        <v>0.32800000000000001</v>
      </c>
      <c r="E3">
        <f t="shared" ref="E3:E9" si="2">LN(D3/$D$2)</f>
        <v>-0.36396537720141159</v>
      </c>
    </row>
    <row r="4" spans="1:5">
      <c r="A4">
        <v>104</v>
      </c>
      <c r="B4">
        <f t="shared" si="0"/>
        <v>54</v>
      </c>
      <c r="C4">
        <v>0.23200000000000001</v>
      </c>
      <c r="D4">
        <f t="shared" si="1"/>
        <v>0.23200000000000001</v>
      </c>
      <c r="E4">
        <f t="shared" si="2"/>
        <v>-0.71024161391924523</v>
      </c>
    </row>
    <row r="5" spans="1:5">
      <c r="A5">
        <v>158</v>
      </c>
      <c r="B5">
        <f t="shared" si="0"/>
        <v>54</v>
      </c>
      <c r="C5">
        <v>-0.16800000000000001</v>
      </c>
      <c r="D5">
        <f t="shared" si="1"/>
        <v>0.16800000000000001</v>
      </c>
      <c r="E5">
        <f t="shared" si="2"/>
        <v>-1.0330150061822962</v>
      </c>
    </row>
    <row r="6" spans="1:5">
      <c r="A6">
        <v>212</v>
      </c>
      <c r="B6">
        <f t="shared" si="0"/>
        <v>54</v>
      </c>
      <c r="C6">
        <v>0.112</v>
      </c>
      <c r="D6">
        <f t="shared" si="1"/>
        <v>0.112</v>
      </c>
      <c r="E6">
        <f t="shared" si="2"/>
        <v>-1.4384801142904609</v>
      </c>
    </row>
    <row r="7" spans="1:5">
      <c r="A7">
        <v>266</v>
      </c>
      <c r="B7">
        <f t="shared" si="0"/>
        <v>54</v>
      </c>
      <c r="C7">
        <v>-0.08</v>
      </c>
      <c r="D7">
        <f t="shared" si="1"/>
        <v>0.08</v>
      </c>
      <c r="E7">
        <f t="shared" si="2"/>
        <v>-1.7749523509116736</v>
      </c>
    </row>
    <row r="8" spans="1:5">
      <c r="A8">
        <v>320</v>
      </c>
      <c r="B8">
        <f t="shared" si="0"/>
        <v>54</v>
      </c>
      <c r="C8">
        <v>5.6000000000000001E-2</v>
      </c>
      <c r="D8">
        <f t="shared" si="1"/>
        <v>5.6000000000000001E-2</v>
      </c>
      <c r="E8">
        <f t="shared" si="2"/>
        <v>-2.1316272948504063</v>
      </c>
    </row>
    <row r="9" spans="1:5">
      <c r="A9">
        <v>374</v>
      </c>
      <c r="C9">
        <v>-3.2000000000000001E-2</v>
      </c>
      <c r="D9">
        <f t="shared" si="1"/>
        <v>3.2000000000000001E-2</v>
      </c>
      <c r="E9">
        <f t="shared" si="2"/>
        <v>-2.6912430827858289</v>
      </c>
    </row>
    <row r="11" spans="1:5">
      <c r="A11" t="s">
        <v>5</v>
      </c>
      <c r="B11" t="s">
        <v>6</v>
      </c>
      <c r="C11" t="s">
        <v>7</v>
      </c>
      <c r="D11" t="s">
        <v>9</v>
      </c>
      <c r="E11" t="s">
        <v>8</v>
      </c>
    </row>
    <row r="12" spans="1:5">
      <c r="A12">
        <v>27.44</v>
      </c>
      <c r="B12">
        <v>10.24</v>
      </c>
      <c r="C12">
        <v>160.9</v>
      </c>
      <c r="D12">
        <v>130.29</v>
      </c>
      <c r="E12">
        <f>E13*1000000</f>
        <v>105.74174982428167</v>
      </c>
    </row>
    <row r="13" spans="1:5">
      <c r="A13">
        <f>A12/1000</f>
        <v>2.7440000000000003E-2</v>
      </c>
      <c r="B13">
        <f>B12/1000000000</f>
        <v>1.0240000000000001E-8</v>
      </c>
      <c r="C13">
        <f>C12</f>
        <v>160.9</v>
      </c>
      <c r="D13">
        <f>D12</f>
        <v>130.29</v>
      </c>
      <c r="E13">
        <f>2*PI()/SQRT(1/A13/B13-((C13+D13)/2/A13)^2)</f>
        <v>1.0574174982428167E-4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2F20-0891-4E84-9E25-B8B765F52A72}">
  <dimension ref="A1:E13"/>
  <sheetViews>
    <sheetView workbookViewId="0"/>
  </sheetViews>
  <sheetFormatPr defaultRowHeight="18"/>
  <cols>
    <col min="2" max="2" width="10.75" bestFit="1" customWidth="1"/>
  </cols>
  <sheetData>
    <row r="1" spans="1: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>
      <c r="A2">
        <v>0</v>
      </c>
      <c r="B2">
        <f>A3-A2</f>
        <v>53</v>
      </c>
      <c r="C2">
        <v>1.46</v>
      </c>
      <c r="D2">
        <f>ABS(C2)</f>
        <v>1.46</v>
      </c>
      <c r="E2">
        <f>LN(D2/$D$2)</f>
        <v>0</v>
      </c>
    </row>
    <row r="3" spans="1:5">
      <c r="A3">
        <v>53</v>
      </c>
      <c r="B3">
        <f t="shared" ref="B3:B8" si="0">A4-A3</f>
        <v>53</v>
      </c>
      <c r="C3">
        <v>-0.74</v>
      </c>
      <c r="D3">
        <f t="shared" ref="D3:D9" si="1">ABS(C3)</f>
        <v>0.74</v>
      </c>
      <c r="E3">
        <f t="shared" ref="E3:E6" si="2">LN(D3/$D$2)</f>
        <v>-0.6795415285041666</v>
      </c>
    </row>
    <row r="4" spans="1:5">
      <c r="A4">
        <v>106</v>
      </c>
      <c r="B4">
        <f t="shared" si="0"/>
        <v>53</v>
      </c>
      <c r="C4">
        <v>0.38</v>
      </c>
      <c r="D4">
        <f t="shared" si="1"/>
        <v>0.38</v>
      </c>
      <c r="E4">
        <f t="shared" si="2"/>
        <v>-1.3460204619819507</v>
      </c>
    </row>
    <row r="5" spans="1:5">
      <c r="A5">
        <v>159</v>
      </c>
      <c r="B5">
        <f t="shared" si="0"/>
        <v>53</v>
      </c>
      <c r="C5">
        <v>-0.2</v>
      </c>
      <c r="D5">
        <f t="shared" si="1"/>
        <v>0.2</v>
      </c>
      <c r="E5">
        <f t="shared" si="2"/>
        <v>-1.9878743481543453</v>
      </c>
    </row>
    <row r="6" spans="1:5">
      <c r="A6">
        <v>212</v>
      </c>
      <c r="C6">
        <v>0.1</v>
      </c>
      <c r="D6">
        <f t="shared" si="1"/>
        <v>0.1</v>
      </c>
      <c r="E6">
        <f t="shared" si="2"/>
        <v>-2.6810215287142904</v>
      </c>
    </row>
    <row r="11" spans="1:5">
      <c r="A11" t="s">
        <v>5</v>
      </c>
      <c r="B11" t="s">
        <v>6</v>
      </c>
      <c r="C11" t="s">
        <v>7</v>
      </c>
      <c r="D11" t="s">
        <v>10</v>
      </c>
      <c r="E11" t="s">
        <v>8</v>
      </c>
    </row>
    <row r="12" spans="1:5">
      <c r="A12">
        <v>27.44</v>
      </c>
      <c r="B12">
        <v>10.24</v>
      </c>
      <c r="C12">
        <v>160.9</v>
      </c>
      <c r="D12">
        <v>460.8</v>
      </c>
      <c r="E12">
        <f>E13*1000000</f>
        <v>107.27456126059701</v>
      </c>
    </row>
    <row r="13" spans="1:5">
      <c r="A13">
        <f>A12/1000</f>
        <v>2.7440000000000003E-2</v>
      </c>
      <c r="B13">
        <f>B12/1000000000</f>
        <v>1.0240000000000001E-8</v>
      </c>
      <c r="C13">
        <f>C12</f>
        <v>160.9</v>
      </c>
      <c r="D13">
        <f>D12</f>
        <v>460.8</v>
      </c>
      <c r="E13">
        <f>2*PI()/SQRT(1/A13/B13-((C13+D13)/2/A13)^2)</f>
        <v>1.0727456126059702E-4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C4FC-06D0-4B46-A377-F04A1852B6E6}">
  <dimension ref="A1:E13"/>
  <sheetViews>
    <sheetView workbookViewId="0"/>
  </sheetViews>
  <sheetFormatPr defaultRowHeight="18"/>
  <cols>
    <col min="2" max="2" width="10.75" bestFit="1" customWidth="1"/>
  </cols>
  <sheetData>
    <row r="1" spans="1: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>
      <c r="A2">
        <v>0</v>
      </c>
      <c r="B2">
        <f>A3-A2</f>
        <v>25</v>
      </c>
      <c r="C2">
        <v>5.52</v>
      </c>
      <c r="D2">
        <f>ABS(C2)</f>
        <v>5.52</v>
      </c>
      <c r="E2">
        <f>LN(D2/$D$2)</f>
        <v>0</v>
      </c>
    </row>
    <row r="3" spans="1:5">
      <c r="A3">
        <v>25</v>
      </c>
      <c r="B3">
        <f t="shared" ref="B3:B8" si="0">A4-A3</f>
        <v>25</v>
      </c>
      <c r="C3">
        <v>3.44</v>
      </c>
      <c r="D3">
        <f t="shared" ref="D3:D9" si="1">ABS(C3)</f>
        <v>3.44</v>
      </c>
      <c r="E3">
        <f t="shared" ref="E3:E7" si="2">LN(D3/$D$2)</f>
        <v>-0.47290638890369696</v>
      </c>
    </row>
    <row r="4" spans="1:5">
      <c r="A4">
        <v>50</v>
      </c>
      <c r="B4">
        <f t="shared" si="0"/>
        <v>25</v>
      </c>
      <c r="C4">
        <v>1.92</v>
      </c>
      <c r="D4">
        <f t="shared" si="1"/>
        <v>1.92</v>
      </c>
      <c r="E4">
        <f t="shared" si="2"/>
        <v>-1.0560526742493137</v>
      </c>
    </row>
    <row r="5" spans="1:5">
      <c r="A5">
        <v>75</v>
      </c>
      <c r="B5">
        <f t="shared" si="0"/>
        <v>25</v>
      </c>
      <c r="C5">
        <v>1.1200000000000001</v>
      </c>
      <c r="D5">
        <f t="shared" si="1"/>
        <v>1.1200000000000001</v>
      </c>
      <c r="E5">
        <f t="shared" si="2"/>
        <v>-1.5950491749820006</v>
      </c>
    </row>
    <row r="6" spans="1:5">
      <c r="A6">
        <v>100</v>
      </c>
      <c r="B6">
        <f t="shared" si="0"/>
        <v>25</v>
      </c>
      <c r="C6">
        <v>0.64</v>
      </c>
      <c r="D6">
        <f t="shared" si="1"/>
        <v>0.64</v>
      </c>
      <c r="E6">
        <f t="shared" si="2"/>
        <v>-2.1546649629174235</v>
      </c>
    </row>
    <row r="7" spans="1:5">
      <c r="A7">
        <v>125</v>
      </c>
      <c r="C7">
        <v>0.4</v>
      </c>
      <c r="D7">
        <f t="shared" si="1"/>
        <v>0.4</v>
      </c>
      <c r="E7">
        <f t="shared" si="2"/>
        <v>-2.6246685921631587</v>
      </c>
    </row>
    <row r="11" spans="1:5">
      <c r="A11" t="s">
        <v>5</v>
      </c>
      <c r="B11" t="s">
        <v>6</v>
      </c>
      <c r="C11" t="s">
        <v>7</v>
      </c>
      <c r="D11" t="s">
        <v>9</v>
      </c>
      <c r="E11" t="s">
        <v>8</v>
      </c>
    </row>
    <row r="12" spans="1:5">
      <c r="A12">
        <v>27.44</v>
      </c>
      <c r="B12">
        <v>10.24</v>
      </c>
      <c r="C12">
        <v>160.9</v>
      </c>
      <c r="D12">
        <v>130.29</v>
      </c>
      <c r="E12">
        <f>E13*1000000</f>
        <v>105.74174982428167</v>
      </c>
    </row>
    <row r="13" spans="1:5">
      <c r="A13">
        <f>A12/1000</f>
        <v>2.7440000000000003E-2</v>
      </c>
      <c r="B13">
        <f>B12/1000000000</f>
        <v>1.0240000000000001E-8</v>
      </c>
      <c r="C13">
        <f>C12</f>
        <v>160.9</v>
      </c>
      <c r="D13">
        <f>D12</f>
        <v>130.29</v>
      </c>
      <c r="E13">
        <f>2*PI()/SQRT(1/A13/B13-((C13+D13)/2/A13)^2)</f>
        <v>1.0574174982428167E-4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B60C-38C8-42C2-9FBB-BDEEDCA60692}">
  <dimension ref="A1:E18"/>
  <sheetViews>
    <sheetView workbookViewId="0"/>
  </sheetViews>
  <sheetFormatPr defaultRowHeight="18"/>
  <cols>
    <col min="2" max="2" width="10.75" bestFit="1" customWidth="1"/>
  </cols>
  <sheetData>
    <row r="1" spans="1: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>
      <c r="A2">
        <v>0</v>
      </c>
      <c r="B2">
        <f>A3-A2</f>
        <v>25</v>
      </c>
      <c r="C2">
        <v>6.56</v>
      </c>
      <c r="D2">
        <f>ABS(C2)</f>
        <v>6.56</v>
      </c>
      <c r="E2">
        <f>LN(D2/$D$2)</f>
        <v>0</v>
      </c>
    </row>
    <row r="3" spans="1:5">
      <c r="A3">
        <v>25</v>
      </c>
      <c r="B3">
        <f t="shared" ref="B3:B11" si="0">A4-A3</f>
        <v>25</v>
      </c>
      <c r="C3">
        <v>4.72</v>
      </c>
      <c r="D3">
        <f t="shared" ref="D3:D12" si="1">ABS(C3)</f>
        <v>4.72</v>
      </c>
      <c r="E3">
        <f t="shared" ref="E3:E12" si="2">LN(D3/$D$2)</f>
        <v>-0.3291818033585337</v>
      </c>
    </row>
    <row r="4" spans="1:5">
      <c r="A4">
        <v>50</v>
      </c>
      <c r="B4">
        <f t="shared" si="0"/>
        <v>25</v>
      </c>
      <c r="C4">
        <v>3.52</v>
      </c>
      <c r="D4">
        <f t="shared" si="1"/>
        <v>3.52</v>
      </c>
      <c r="E4">
        <f t="shared" si="2"/>
        <v>-0.62252961334599188</v>
      </c>
    </row>
    <row r="5" spans="1:5">
      <c r="A5">
        <v>75</v>
      </c>
      <c r="B5">
        <f t="shared" si="0"/>
        <v>25</v>
      </c>
      <c r="C5">
        <v>2.56</v>
      </c>
      <c r="D5">
        <f t="shared" si="1"/>
        <v>2.56</v>
      </c>
      <c r="E5">
        <f t="shared" si="2"/>
        <v>-0.94098334446452658</v>
      </c>
    </row>
    <row r="6" spans="1:5">
      <c r="A6">
        <v>100</v>
      </c>
      <c r="B6">
        <f t="shared" si="0"/>
        <v>25</v>
      </c>
      <c r="C6">
        <v>1.92</v>
      </c>
      <c r="D6">
        <f t="shared" si="1"/>
        <v>1.92</v>
      </c>
      <c r="E6">
        <f t="shared" si="2"/>
        <v>-1.2286654169163076</v>
      </c>
    </row>
    <row r="7" spans="1:5">
      <c r="A7">
        <v>125</v>
      </c>
      <c r="B7">
        <f t="shared" si="0"/>
        <v>25</v>
      </c>
      <c r="C7">
        <v>1.44</v>
      </c>
      <c r="D7">
        <f t="shared" si="1"/>
        <v>1.44</v>
      </c>
      <c r="E7">
        <f t="shared" si="2"/>
        <v>-1.5163474893680884</v>
      </c>
    </row>
    <row r="8" spans="1:5">
      <c r="A8">
        <v>150</v>
      </c>
      <c r="B8">
        <f t="shared" si="0"/>
        <v>25</v>
      </c>
      <c r="C8">
        <v>1.04</v>
      </c>
      <c r="D8">
        <f t="shared" si="1"/>
        <v>1.04</v>
      </c>
      <c r="E8">
        <f t="shared" si="2"/>
        <v>-1.8417698898027164</v>
      </c>
    </row>
    <row r="9" spans="1:5">
      <c r="A9">
        <v>175</v>
      </c>
      <c r="B9">
        <f>A10-A9</f>
        <v>25</v>
      </c>
      <c r="C9">
        <v>0.8</v>
      </c>
      <c r="D9">
        <f t="shared" si="1"/>
        <v>0.8</v>
      </c>
      <c r="E9">
        <f t="shared" si="2"/>
        <v>-2.1041341542702074</v>
      </c>
    </row>
    <row r="10" spans="1:5">
      <c r="A10">
        <v>200</v>
      </c>
      <c r="B10">
        <f t="shared" si="0"/>
        <v>25</v>
      </c>
      <c r="C10">
        <v>0.56000000000000005</v>
      </c>
      <c r="D10">
        <f t="shared" si="1"/>
        <v>0.56000000000000005</v>
      </c>
      <c r="E10">
        <f t="shared" si="2"/>
        <v>-2.4608090982089399</v>
      </c>
    </row>
    <row r="11" spans="1:5">
      <c r="A11">
        <v>225</v>
      </c>
      <c r="B11">
        <f t="shared" si="0"/>
        <v>25</v>
      </c>
      <c r="C11">
        <v>0.4</v>
      </c>
      <c r="D11">
        <f t="shared" si="1"/>
        <v>0.4</v>
      </c>
      <c r="E11">
        <f t="shared" si="2"/>
        <v>-2.7972813348301528</v>
      </c>
    </row>
    <row r="12" spans="1:5">
      <c r="A12">
        <v>250</v>
      </c>
      <c r="C12">
        <v>0.32</v>
      </c>
      <c r="D12">
        <f t="shared" si="1"/>
        <v>0.32</v>
      </c>
      <c r="E12">
        <f t="shared" si="2"/>
        <v>-3.0204248861443626</v>
      </c>
    </row>
    <row r="16" spans="1:5">
      <c r="A16" t="s">
        <v>5</v>
      </c>
      <c r="B16" t="s">
        <v>6</v>
      </c>
      <c r="C16" t="s">
        <v>7</v>
      </c>
      <c r="D16" t="s">
        <v>9</v>
      </c>
      <c r="E16" t="s">
        <v>8</v>
      </c>
    </row>
    <row r="17" spans="1:5">
      <c r="A17">
        <v>27.44</v>
      </c>
      <c r="B17">
        <v>10.24</v>
      </c>
      <c r="C17">
        <v>160.9</v>
      </c>
      <c r="D17">
        <v>130.29</v>
      </c>
      <c r="E17">
        <f>E18*1000000</f>
        <v>105.74174982428167</v>
      </c>
    </row>
    <row r="18" spans="1:5">
      <c r="A18">
        <f>A17/1000</f>
        <v>2.7440000000000003E-2</v>
      </c>
      <c r="B18">
        <f>B17/1000000000</f>
        <v>1.0240000000000001E-8</v>
      </c>
      <c r="C18">
        <f>C17</f>
        <v>160.9</v>
      </c>
      <c r="D18">
        <f>D17</f>
        <v>130.29</v>
      </c>
      <c r="E18">
        <f>2*PI()/SQRT(1/A18/B18-((C18+D18)/2/A18)^2)</f>
        <v>1.0574174982428167E-4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F12E-F544-4236-BD76-2931FB726575}">
  <dimension ref="A1:J5"/>
  <sheetViews>
    <sheetView workbookViewId="0"/>
  </sheetViews>
  <sheetFormatPr defaultRowHeight="18"/>
  <cols>
    <col min="4" max="4" width="10.75" bestFit="1" customWidth="1"/>
  </cols>
  <sheetData>
    <row r="1" spans="1:10">
      <c r="A1" t="s">
        <v>5</v>
      </c>
      <c r="B1" t="s">
        <v>11</v>
      </c>
      <c r="C1" t="s">
        <v>13</v>
      </c>
      <c r="D1" t="s">
        <v>6</v>
      </c>
      <c r="E1" t="s">
        <v>18</v>
      </c>
      <c r="F1" t="s">
        <v>12</v>
      </c>
      <c r="G1" t="s">
        <v>14</v>
      </c>
      <c r="H1" t="s">
        <v>15</v>
      </c>
      <c r="I1" t="s">
        <v>17</v>
      </c>
      <c r="J1" t="s">
        <v>16</v>
      </c>
    </row>
    <row r="2" spans="1:10">
      <c r="A2">
        <v>2.7439999999999999E-2</v>
      </c>
      <c r="B2">
        <v>160.9</v>
      </c>
      <c r="C2">
        <v>50</v>
      </c>
      <c r="D2">
        <v>10.24</v>
      </c>
      <c r="E2">
        <f>SQRT(1/A2/D3)</f>
        <v>59656.52721259473</v>
      </c>
      <c r="F2">
        <v>130.29</v>
      </c>
      <c r="G2">
        <f>F2+$C$2+$B$2</f>
        <v>341.19</v>
      </c>
      <c r="H2">
        <f>G2/$A$2/2</f>
        <v>6217.0189504373184</v>
      </c>
      <c r="I2">
        <f>SQRT(ABS($E$2^2-H2^2))</f>
        <v>59331.694012871056</v>
      </c>
      <c r="J2">
        <f>H2-I2</f>
        <v>-53114.675062433736</v>
      </c>
    </row>
    <row r="3" spans="1:10">
      <c r="D3">
        <f>D2/1000000000</f>
        <v>1.0240000000000001E-8</v>
      </c>
      <c r="F3">
        <v>460.8</v>
      </c>
      <c r="G3">
        <f>F3+$C$2+$B$2</f>
        <v>671.7</v>
      </c>
      <c r="H3">
        <f t="shared" ref="H3:H5" si="0">G3/$A$2/2</f>
        <v>12239.431486880469</v>
      </c>
      <c r="I3">
        <f t="shared" ref="I3:I5" si="1">SQRT(ABS($E$2^2-H3^2))</f>
        <v>58387.477732344414</v>
      </c>
      <c r="J3">
        <f t="shared" ref="J3:J5" si="2">H3-I3</f>
        <v>-46148.046245463949</v>
      </c>
    </row>
    <row r="4" spans="1:10">
      <c r="F4">
        <v>4697</v>
      </c>
      <c r="G4">
        <f>F4+$C$2+$B$2</f>
        <v>4907.8999999999996</v>
      </c>
      <c r="H4">
        <f t="shared" si="0"/>
        <v>89429.664723032067</v>
      </c>
      <c r="I4">
        <f t="shared" si="1"/>
        <v>66624.04741087764</v>
      </c>
      <c r="J4">
        <f t="shared" si="2"/>
        <v>22805.617312154427</v>
      </c>
    </row>
    <row r="5" spans="1:10">
      <c r="F5">
        <v>8045</v>
      </c>
      <c r="G5">
        <f>F5+$C$2+$B$2</f>
        <v>8255.9</v>
      </c>
      <c r="H5">
        <f t="shared" si="0"/>
        <v>150435.49562682214</v>
      </c>
      <c r="I5">
        <f t="shared" si="1"/>
        <v>138101.18430129616</v>
      </c>
      <c r="J5">
        <f t="shared" si="2"/>
        <v>12334.311325525981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R1</vt:lpstr>
      <vt:lpstr>R2</vt:lpstr>
      <vt:lpstr>R3</vt:lpstr>
      <vt:lpstr>R4</vt:lpstr>
      <vt:lpstr>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yukih</dc:creator>
  <cp:lastModifiedBy>h2511198</cp:lastModifiedBy>
  <dcterms:created xsi:type="dcterms:W3CDTF">2015-06-05T18:19:34Z</dcterms:created>
  <dcterms:modified xsi:type="dcterms:W3CDTF">2025-11-13T21:58:03Z</dcterms:modified>
</cp:coreProperties>
</file>